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ällningar" sheetId="1" r:id="rId5"/>
    <sheet state="visible" name="Instrumentpanel" sheetId="2" r:id="rId6"/>
    <sheet state="visible" name="Arbetspass" sheetId="3" r:id="rId7"/>
    <sheet state="visible" name="Ekonomi" sheetId="4" r:id="rId8"/>
    <sheet state="visible" name="översikt" sheetId="5" r:id="rId9"/>
  </sheets>
  <definedNames/>
  <calcPr/>
</workbook>
</file>

<file path=xl/sharedStrings.xml><?xml version="1.0" encoding="utf-8"?>
<sst xmlns="http://schemas.openxmlformats.org/spreadsheetml/2006/main" count="51" uniqueCount="41">
  <si>
    <t>Månadslön (Brutto)</t>
  </si>
  <si>
    <t>Timlön</t>
  </si>
  <si>
    <t>Sjuklön %</t>
  </si>
  <si>
    <t>Karensavdrag</t>
  </si>
  <si>
    <t>Skattesats (Netto)</t>
  </si>
  <si>
    <t>Säkerhetsmarginal</t>
  </si>
  <si>
    <t>Kvar att leva på</t>
  </si>
  <si>
    <t>Budget</t>
  </si>
  <si>
    <t>Utgifter sedan 16</t>
  </si>
  <si>
    <t>kvar</t>
  </si>
  <si>
    <t>Datum</t>
  </si>
  <si>
    <t>Typ (Jobb/Sjuk/VAB)</t>
  </si>
  <si>
    <t>Timmar</t>
  </si>
  <si>
    <t>rast (min)</t>
  </si>
  <si>
    <t>Nettoförtjänst</t>
  </si>
  <si>
    <t>Kategori</t>
  </si>
  <si>
    <t>Belopp</t>
  </si>
  <si>
    <t>Tillhör</t>
  </si>
  <si>
    <t>Hyra</t>
  </si>
  <si>
    <t>Fasta (orange)</t>
  </si>
  <si>
    <t>Fackavgift</t>
  </si>
  <si>
    <t>El</t>
  </si>
  <si>
    <t>Spotify</t>
  </si>
  <si>
    <t>Mobil</t>
  </si>
  <si>
    <t>Internet</t>
  </si>
  <si>
    <t>Skolavgift</t>
  </si>
  <si>
    <t>Försäkringar</t>
  </si>
  <si>
    <t>Försäkringar Barnen</t>
  </si>
  <si>
    <t>Kronofogden</t>
  </si>
  <si>
    <t>Hanssons</t>
  </si>
  <si>
    <t>Omvårdnadsbidrag</t>
  </si>
  <si>
    <t>Kasper (röd)</t>
  </si>
  <si>
    <t>Barnbidrag</t>
  </si>
  <si>
    <t>Fasta (Orange)</t>
  </si>
  <si>
    <t>Övrigt</t>
  </si>
  <si>
    <t>Saldo just nu</t>
  </si>
  <si>
    <t>Inkommande lön (25:e)</t>
  </si>
  <si>
    <t>Dagar kvar till lön</t>
  </si>
  <si>
    <t>Att leva på per dag</t>
  </si>
  <si>
    <t>Faktisk lön</t>
  </si>
  <si>
    <t>Skillnad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</si>
</sst>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Google Sans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0</v>
      </c>
      <c r="B1" s="1">
        <v>35500.0</v>
      </c>
    </row>
    <row r="2">
      <c r="A2" s="1" t="s">
        <v>1</v>
      </c>
      <c r="B2" s="2">
        <f>B1 / 174</f>
        <v>204.0229885</v>
      </c>
    </row>
    <row r="3">
      <c r="A3" s="1" t="s">
        <v>2</v>
      </c>
      <c r="B3" s="1">
        <v>0.8</v>
      </c>
    </row>
    <row r="4">
      <c r="A4" s="1" t="s">
        <v>3</v>
      </c>
      <c r="B4" s="2">
        <f>((B1 * 12) / 52) * 0.2</f>
        <v>1638.461538</v>
      </c>
    </row>
    <row r="5">
      <c r="A5" s="1" t="s">
        <v>4</v>
      </c>
      <c r="B5" s="1">
        <v>0.77</v>
      </c>
    </row>
    <row r="6">
      <c r="A6" s="1" t="s">
        <v>5</v>
      </c>
      <c r="B6" s="3">
        <v>0.06597222222222222</v>
      </c>
    </row>
    <row r="7">
      <c r="A7" s="1" t="s">
        <v>6</v>
      </c>
      <c r="B7" s="2">
        <f>SUM(Arbetspass!E:E) + SUM(Ekonomi!C:C)</f>
        <v>-14229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tr">
        <f>SUMMA(Arbetspass!E:E) + 2500 (Exempel: lön + barnbidrag)</f>
        <v>#ERROR!</v>
      </c>
    </row>
    <row r="2">
      <c r="A2" s="1" t="s">
        <v>8</v>
      </c>
      <c r="B2" s="2" t="str">
        <f>SUMMIF(Ekonomi!A:A, "&gt;=" &amp; DATE(YEAR(TODAY()), MÅNAD(TODAY()) - IF(DAY(TODAY())&lt;16, 1, 0), 16), Ekonomi!C:C)</f>
        <v>#NAME?</v>
      </c>
    </row>
    <row r="3">
      <c r="A3" s="1" t="s">
        <v>9</v>
      </c>
      <c r="B3" s="2" t="str">
        <f>SUMMA(Arbetspass!E:E) + 2500 (Exempel: lön + barnbidrag)</f>
        <v>#ERROR!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>
      <c r="D2" s="2">
        <f>IF(ISEVEN(ISOWEEKNUM(A2)), 35, 65)</f>
        <v>35</v>
      </c>
      <c r="E2" s="4">
        <f>IF(B2="Jobb", (C2*'Inställningar'!$B$2), IF(B2="Sjuk", (C2*'Inställningar'!$B$2*'Inställningar'!$B$3), 0)) * 'Inställningar'!$B$5 * 'Inställningar'!$B$6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15</v>
      </c>
      <c r="C1" s="1" t="s">
        <v>16</v>
      </c>
      <c r="D1" s="1" t="s">
        <v>17</v>
      </c>
    </row>
    <row r="2">
      <c r="B2" s="1" t="s">
        <v>18</v>
      </c>
      <c r="C2" s="1">
        <v>-10126.0</v>
      </c>
      <c r="D2" s="1" t="s">
        <v>19</v>
      </c>
    </row>
    <row r="3">
      <c r="B3" s="1" t="s">
        <v>20</v>
      </c>
      <c r="C3" s="1">
        <v>-670.0</v>
      </c>
      <c r="D3" s="1" t="s">
        <v>19</v>
      </c>
    </row>
    <row r="4">
      <c r="B4" s="1" t="s">
        <v>21</v>
      </c>
      <c r="C4" s="1">
        <v>-500.0</v>
      </c>
      <c r="D4" s="1" t="s">
        <v>19</v>
      </c>
    </row>
    <row r="5">
      <c r="B5" s="1" t="s">
        <v>22</v>
      </c>
      <c r="C5" s="1">
        <v>-129.0</v>
      </c>
      <c r="D5" s="1" t="s">
        <v>19</v>
      </c>
    </row>
    <row r="6">
      <c r="B6" s="1" t="s">
        <v>23</v>
      </c>
      <c r="C6" s="1">
        <v>-299.0</v>
      </c>
      <c r="D6" s="1" t="s">
        <v>19</v>
      </c>
    </row>
    <row r="7">
      <c r="B7" s="1" t="s">
        <v>24</v>
      </c>
      <c r="C7" s="1">
        <v>-599.0</v>
      </c>
      <c r="D7" s="1" t="s">
        <v>19</v>
      </c>
    </row>
    <row r="8">
      <c r="B8" s="1" t="s">
        <v>25</v>
      </c>
      <c r="C8" s="1">
        <v>-671.0</v>
      </c>
      <c r="D8" s="1" t="s">
        <v>19</v>
      </c>
    </row>
    <row r="9">
      <c r="B9" s="1" t="s">
        <v>26</v>
      </c>
      <c r="C9" s="1">
        <v>-161.0</v>
      </c>
      <c r="D9" s="1" t="s">
        <v>19</v>
      </c>
    </row>
    <row r="10">
      <c r="B10" s="5" t="s">
        <v>27</v>
      </c>
      <c r="C10" s="1">
        <v>-378.0</v>
      </c>
      <c r="D10" s="1" t="s">
        <v>19</v>
      </c>
    </row>
    <row r="11">
      <c r="B11" s="1" t="s">
        <v>28</v>
      </c>
      <c r="C11" s="1">
        <v>-4091.0</v>
      </c>
      <c r="D11" s="1" t="s">
        <v>19</v>
      </c>
    </row>
    <row r="12">
      <c r="B12" s="1" t="s">
        <v>29</v>
      </c>
      <c r="C12" s="6"/>
    </row>
    <row r="13">
      <c r="B13" s="1" t="s">
        <v>30</v>
      </c>
      <c r="C13" s="2">
        <f>2070</f>
        <v>2070</v>
      </c>
      <c r="D13" s="1" t="s">
        <v>31</v>
      </c>
    </row>
    <row r="14">
      <c r="B14" s="1" t="s">
        <v>32</v>
      </c>
      <c r="C14" s="1">
        <v>1325.0</v>
      </c>
      <c r="D14" s="1" t="s">
        <v>33</v>
      </c>
    </row>
    <row r="15">
      <c r="B15" s="1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</row>
    <row r="2">
      <c r="A2" s="1" t="s">
        <v>36</v>
      </c>
      <c r="B2" s="2">
        <f>SUM(Arbetspass!E:E)</f>
        <v>0</v>
      </c>
    </row>
    <row r="3">
      <c r="A3" s="1" t="s">
        <v>37</v>
      </c>
      <c r="B3" s="2">
        <f>IF(DAY(TODAY())&lt;25, 25-DAY(TODAY()), 30-(DAY(TODAY())-25))</f>
        <v>6</v>
      </c>
    </row>
    <row r="4">
      <c r="A4" s="1" t="s">
        <v>38</v>
      </c>
      <c r="B4" s="2">
        <f>B1 / B3</f>
        <v>0</v>
      </c>
    </row>
    <row r="5">
      <c r="A5" s="1" t="s">
        <v>39</v>
      </c>
    </row>
    <row r="6">
      <c r="A6" s="1" t="s">
        <v>40</v>
      </c>
      <c r="B6" s="2">
        <f>B5 - B2</f>
        <v>0</v>
      </c>
    </row>
  </sheetData>
  <drawing r:id="rId1"/>
</worksheet>
</file>